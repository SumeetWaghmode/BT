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bmp" ContentType="image/.bmp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a1033f40e4184e8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6236201e8234aee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WB" defaultThemeVersion="124226"/>
  <mc:AlternateContent xmlns:mc="http://schemas.openxmlformats.org/markup-compatibility/2006">
    <mc:Choice Requires="x15">
      <x15ac:absPath xmlns:x15ac="http://schemas.microsoft.com/office/spreadsheetml/2010/11/ac" url="D:\p4\drweco\prj\Software\sbt\varman\app\"/>
    </mc:Choice>
  </mc:AlternateContent>
  <bookViews>
    <workbookView xWindow="375" yWindow="300" windowWidth="14415" windowHeight="4275" tabRatio="527" autoFilterDateGrouping="0"/>
  </bookViews>
  <sheets>
    <sheet name="Manager" sheetId="1" r:id="rId1"/>
    <sheet name="Reg" sheetId="2" state="hidden" r:id="rId2"/>
  </sheets>
  <functionGroups builtInGroupCount="18"/>
  <definedNames>
    <definedName name="_xlnm._FilterDatabase" localSheetId="0" hidden="1">Manager!$T$7:$U$8</definedName>
    <definedName name="ASN_Title" localSheetId="0">Manager!$S$6</definedName>
    <definedName name="BOML" localSheetId="0">Manager!$O$8:$O$10</definedName>
    <definedName name="IDX" localSheetId="0">Manager!$P$7:$R$7</definedName>
    <definedName name="LVL" localSheetId="0">Manager!$H$8:$H$10</definedName>
    <definedName name="MTX" localSheetId="0">Manager!$P$8:$R$10</definedName>
    <definedName name="POS" localSheetId="0">Manager!$I$8:$K$10</definedName>
    <definedName name="Property" localSheetId="0">Manager!$A$8:$E$10</definedName>
    <definedName name="PS" localSheetId="0">Manager!$L$8:$N$10</definedName>
    <definedName name="STATUS_LINE" localSheetId="0">Manager!$H$11</definedName>
    <definedName name="Top_ID" localSheetId="0">Manager!$O$4</definedName>
    <definedName name="VI_Data" localSheetId="0">Manager!$T$8:$U$10</definedName>
    <definedName name="VI_Head" localSheetId="0">Manager!$T$6:$U$7</definedName>
    <definedName name="VI_LIST" localSheetId="0">Manager!$B$3</definedName>
    <definedName name="VI_Ref" localSheetId="0">Manager!$T$4:$U$5</definedName>
    <definedName name="VI_Title" localSheetId="0">Manager!$S$4</definedName>
  </definedNames>
  <calcPr calcId="162913" iterate="1" iterateCount="1"/>
</workbook>
</file>

<file path=xl/calcChain.xml><?xml version="1.0" encoding="utf-8"?>
<calcChain xmlns="http://schemas.openxmlformats.org/spreadsheetml/2006/main">
  <c r="C10" i="1" l="1"/>
  <c r="U7" i="1"/>
  <c r="U4" i="1"/>
  <c r="P4" i="1"/>
  <c r="U8" i="1"/>
  <c r="T7" i="1"/>
  <c r="T4" i="1"/>
  <c r="H6" i="1"/>
  <c r="T8" i="1"/>
  <c r="T3" i="1" s="1"/>
  <c r="C8" i="1"/>
  <c r="P5" i="1"/>
  <c r="D8" i="1"/>
  <c r="U10" i="1"/>
  <c r="U3" i="1" s="1"/>
  <c r="D10" i="1"/>
  <c r="S4" i="1" l="1"/>
</calcChain>
</file>

<file path=xl/sharedStrings.xml><?xml version="1.0" encoding="utf-8"?>
<sst xmlns="http://schemas.openxmlformats.org/spreadsheetml/2006/main" count="15" uniqueCount="14">
  <si>
    <t>Level</t>
  </si>
  <si>
    <t>ID</t>
  </si>
  <si>
    <t>Pos.</t>
  </si>
  <si>
    <t>Path</t>
  </si>
  <si>
    <t>Instance</t>
  </si>
  <si>
    <t>Imprecise path</t>
  </si>
  <si>
    <t/>
  </si>
  <si>
    <t>-1</t>
  </si>
  <si>
    <t>Name</t>
  </si>
  <si>
    <t>Value</t>
  </si>
  <si>
    <t>Quantity</t>
  </si>
  <si>
    <t>ASN</t>
  </si>
  <si>
    <t>.1</t>
  </si>
  <si>
    <t>VI_LIST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</si>
</sst>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8"/>
      <name val="Calibri"/>
      <family val="2"/>
      <scheme val="minor"/>
    </font>
    <font>
      <sz val="14"/>
      <color theme="1"/>
      <name val="Courier New"/>
      <family val="3"/>
    </font>
    <font>
      <u/>
      <sz val="18"/>
      <name val="Courier New"/>
      <family val="3"/>
    </font>
    <font>
      <b/>
      <sz val="14"/>
      <color theme="0"/>
      <name val="Courier New"/>
      <family val="3"/>
    </font>
    <font>
      <sz val="14"/>
      <color rgb="FF000000"/>
      <name val="Courier New"/>
      <family val="3"/>
    </font>
    <font>
      <sz val="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8"/>
      <color theme="0"/>
      <name val="Courier New"/>
      <family val="3"/>
    </font>
    <font>
      <b/>
      <sz val="8"/>
      <color theme="0"/>
      <name val="Calibri"/>
      <family val="2"/>
      <scheme val="minor"/>
    </font>
    <font>
      <sz val="14"/>
      <color rgb="FF585B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4CED9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 applyFill="1" applyAlignment="1" applyProtection="1">
      <alignment horizontal="left" vertical="center" indent="1"/>
    </xf>
    <xf numFmtId="0" fontId="2" fillId="0" borderId="0" xfId="0" applyNumberFormat="1" applyFont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left" vertical="center" indent="1"/>
    </xf>
    <xf numFmtId="0" fontId="1" fillId="0" borderId="1" xfId="0" applyFont="1" applyFill="1" applyBorder="1" applyAlignment="1" applyProtection="1">
      <alignment horizontal="left" vertical="center" indent="1"/>
    </xf>
    <xf numFmtId="0" fontId="1" fillId="2" borderId="6" xfId="0" applyNumberFormat="1" applyFont="1" applyFill="1" applyBorder="1" applyAlignment="1" applyProtection="1">
      <alignment horizontal="center" textRotation="90" shrinkToFit="1"/>
    </xf>
    <xf numFmtId="49" fontId="1" fillId="0" borderId="0" xfId="0" applyNumberFormat="1" applyFont="1" applyFill="1" applyBorder="1" applyAlignment="1" applyProtection="1">
      <alignment horizontal="left" vertical="center" indent="1"/>
    </xf>
    <xf numFmtId="49" fontId="1" fillId="0" borderId="1" xfId="0" applyNumberFormat="1" applyFont="1" applyFill="1" applyBorder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left" vertical="center" indent="1"/>
    </xf>
    <xf numFmtId="0" fontId="1" fillId="2" borderId="14" xfId="0" applyNumberFormat="1" applyFont="1" applyFill="1" applyBorder="1" applyAlignment="1" applyProtection="1">
      <alignment horizontal="center" textRotation="90" shrinkToFit="1"/>
    </xf>
    <xf numFmtId="49" fontId="1" fillId="0" borderId="0" xfId="0" applyNumberFormat="1" applyFont="1" applyFill="1" applyBorder="1" applyAlignment="1" applyProtection="1">
      <alignment horizontal="center" vertical="center" shrinkToFit="1"/>
    </xf>
    <xf numFmtId="49" fontId="1" fillId="0" borderId="1" xfId="0" applyNumberFormat="1" applyFont="1" applyFill="1" applyBorder="1" applyAlignment="1" applyProtection="1">
      <alignment horizontal="center" vertical="center" shrinkToFit="1"/>
    </xf>
    <xf numFmtId="49" fontId="1" fillId="0" borderId="0" xfId="0" applyNumberFormat="1" applyFont="1" applyFill="1" applyAlignment="1" applyProtection="1">
      <alignment horizontal="center" vertical="center" shrinkToFit="1"/>
    </xf>
    <xf numFmtId="0" fontId="4" fillId="0" borderId="0" xfId="0" applyFont="1" applyFill="1" applyAlignment="1" applyProtection="1">
      <alignment horizontal="right" vertical="center" indent="1"/>
    </xf>
    <xf numFmtId="0" fontId="4" fillId="0" borderId="0" xfId="0" applyFont="1" applyFill="1" applyBorder="1" applyAlignment="1" applyProtection="1">
      <alignment horizontal="right" vertical="center" indent="1"/>
    </xf>
    <xf numFmtId="49" fontId="4" fillId="0" borderId="0" xfId="0" applyNumberFormat="1" applyFont="1" applyFill="1" applyBorder="1" applyAlignment="1" applyProtection="1">
      <alignment horizontal="right" vertical="center" indent="1"/>
    </xf>
    <xf numFmtId="49" fontId="4" fillId="0" borderId="0" xfId="0" applyNumberFormat="1" applyFont="1" applyFill="1" applyBorder="1" applyAlignment="1" applyProtection="1">
      <alignment horizontal="right" vertical="center" shrinkToFit="1"/>
    </xf>
    <xf numFmtId="0" fontId="1" fillId="0" borderId="29" xfId="0" applyFont="1" applyFill="1" applyBorder="1" applyAlignment="1" applyProtection="1">
      <alignment horizontal="left" vertical="center" indent="1"/>
    </xf>
    <xf numFmtId="0" fontId="1" fillId="0" borderId="0" xfId="0" applyFont="1" applyFill="1" applyAlignment="1" applyProtection="1">
      <alignment horizontal="center" vertical="center" shrinkToFit="1"/>
    </xf>
    <xf numFmtId="0" fontId="1" fillId="0" borderId="0" xfId="0" applyFont="1" applyFill="1" applyAlignment="1" applyProtection="1">
      <alignment horizontal="right" vertical="center" shrinkToFit="1"/>
    </xf>
    <xf numFmtId="0" fontId="1" fillId="0" borderId="0" xfId="0" applyFont="1" applyFill="1" applyAlignment="1" applyProtection="1">
      <alignment horizontal="left" vertical="center" shrinkToFit="1"/>
    </xf>
    <xf numFmtId="0" fontId="1" fillId="0" borderId="0" xfId="0" applyNumberFormat="1" applyFont="1" applyBorder="1" applyAlignment="1" applyProtection="1">
      <alignment horizontal="center" vertical="center" shrinkToFit="1"/>
    </xf>
    <xf numFmtId="49" fontId="1" fillId="2" borderId="21" xfId="0" applyNumberFormat="1" applyFont="1" applyFill="1" applyBorder="1" applyAlignment="1" applyProtection="1">
      <alignment horizontal="center" vertical="center" shrinkToFi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Border="1" applyAlignment="1" applyProtection="1">
      <alignment horizontal="left" vertical="center" indent="1"/>
    </xf>
    <xf numFmtId="0" fontId="1" fillId="0" borderId="0" xfId="0" applyNumberFormat="1" applyFont="1" applyFill="1" applyBorder="1" applyAlignment="1" applyProtection="1">
      <alignment horizontal="center" vertical="center" shrinkToFit="1"/>
    </xf>
    <xf numFmtId="0" fontId="4" fillId="0" borderId="0" xfId="0" applyNumberFormat="1" applyFont="1" applyFill="1" applyBorder="1" applyAlignment="1" applyProtection="1">
      <alignment horizontal="right" vertical="center" indent="1"/>
    </xf>
    <xf numFmtId="0" fontId="3" fillId="0" borderId="0" xfId="0" applyNumberFormat="1" applyFont="1" applyBorder="1" applyAlignment="1" applyProtection="1">
      <alignment horizontal="center" vertical="center"/>
    </xf>
    <xf numFmtId="49" fontId="5" fillId="0" borderId="0" xfId="0" applyNumberFormat="1" applyFont="1" applyFill="1" applyBorder="1" applyAlignment="1" applyProtection="1">
      <alignment vertical="center" shrinkToFit="1"/>
    </xf>
    <xf numFmtId="49" fontId="5" fillId="0" borderId="1" xfId="0" applyNumberFormat="1" applyFont="1" applyFill="1" applyBorder="1" applyAlignment="1" applyProtection="1">
      <alignment vertical="center" shrinkToFit="1"/>
    </xf>
    <xf numFmtId="0" fontId="7" fillId="2" borderId="2" xfId="0" applyNumberFormat="1" applyFont="1" applyFill="1" applyBorder="1" applyAlignment="1" applyProtection="1">
      <alignment vertical="center" textRotation="90"/>
    </xf>
    <xf numFmtId="0" fontId="9" fillId="2" borderId="14" xfId="0" applyNumberFormat="1" applyFont="1" applyFill="1" applyBorder="1" applyAlignment="1" applyProtection="1">
      <alignment vertical="center" textRotation="90"/>
    </xf>
    <xf numFmtId="49" fontId="5" fillId="0" borderId="22" xfId="0" applyNumberFormat="1" applyFont="1" applyFill="1" applyBorder="1" applyAlignment="1" applyProtection="1">
      <alignment horizontal="center" vertical="center" shrinkToFit="1"/>
    </xf>
    <xf numFmtId="49" fontId="10" fillId="2" borderId="6" xfId="0" applyNumberFormat="1" applyFont="1" applyFill="1" applyBorder="1" applyAlignment="1" applyProtection="1">
      <alignment vertical="center" textRotation="90" shrinkToFit="1"/>
    </xf>
    <xf numFmtId="49" fontId="10" fillId="2" borderId="6" xfId="0" applyNumberFormat="1" applyFont="1" applyFill="1" applyBorder="1" applyAlignment="1" applyProtection="1">
      <alignment vertical="top" textRotation="90" shrinkToFit="1"/>
    </xf>
    <xf numFmtId="49" fontId="6" fillId="2" borderId="11" xfId="0" applyNumberFormat="1" applyFont="1" applyFill="1" applyBorder="1" applyAlignment="1" applyProtection="1">
      <alignment horizontal="center" vertical="center" shrinkToFit="1"/>
    </xf>
    <xf numFmtId="49" fontId="6" fillId="2" borderId="12" xfId="0" applyNumberFormat="1" applyFont="1" applyFill="1" applyBorder="1" applyAlignment="1" applyProtection="1">
      <alignment horizontal="center" vertical="center" shrinkToFit="1"/>
    </xf>
    <xf numFmtId="49" fontId="6" fillId="2" borderId="13" xfId="0" applyNumberFormat="1" applyFont="1" applyFill="1" applyBorder="1" applyAlignment="1" applyProtection="1">
      <alignment vertical="center" shrinkToFit="1"/>
    </xf>
    <xf numFmtId="49" fontId="1" fillId="2" borderId="15" xfId="0" applyNumberFormat="1" applyFont="1" applyFill="1" applyBorder="1" applyAlignment="1" applyProtection="1">
      <alignment horizontal="center" vertical="center" shrinkToFit="1"/>
    </xf>
    <xf numFmtId="49" fontId="1" fillId="2" borderId="17" xfId="0" applyNumberFormat="1" applyFont="1" applyFill="1" applyBorder="1" applyAlignment="1" applyProtection="1">
      <alignment horizontal="center" vertical="center" shrinkToFit="1"/>
    </xf>
    <xf numFmtId="49" fontId="11" fillId="4" borderId="26" xfId="0" applyNumberFormat="1" applyFont="1" applyFill="1" applyBorder="1" applyAlignment="1" applyProtection="1">
      <alignment vertical="center" shrinkToFit="1"/>
    </xf>
    <xf numFmtId="49" fontId="11" fillId="4" borderId="27" xfId="0" applyNumberFormat="1" applyFont="1" applyFill="1" applyBorder="1" applyAlignment="1" applyProtection="1">
      <alignment vertical="center" shrinkToFit="1"/>
    </xf>
    <xf numFmtId="49" fontId="12" fillId="3" borderId="10" xfId="0" applyNumberFormat="1" applyFont="1" applyFill="1" applyBorder="1" applyAlignment="1" applyProtection="1">
      <alignment horizontal="center" vertical="center" shrinkToFit="1"/>
    </xf>
    <xf numFmtId="49" fontId="13" fillId="2" borderId="15" xfId="0" applyNumberFormat="1" applyFont="1" applyFill="1" applyBorder="1" applyAlignment="1" applyProtection="1">
      <alignment horizontal="center" vertical="center" shrinkToFit="1"/>
    </xf>
    <xf numFmtId="49" fontId="13" fillId="2" borderId="3" xfId="0" applyNumberFormat="1" applyFont="1" applyFill="1" applyBorder="1" applyAlignment="1" applyProtection="1">
      <alignment horizontal="center" vertical="center" shrinkToFit="1"/>
    </xf>
    <xf numFmtId="49" fontId="13" fillId="2" borderId="4" xfId="0" applyNumberFormat="1" applyFont="1" applyFill="1" applyBorder="1" applyAlignment="1" applyProtection="1">
      <alignment horizontal="center" vertical="center" shrinkToFit="1"/>
    </xf>
    <xf numFmtId="49" fontId="13" fillId="2" borderId="5" xfId="0" applyNumberFormat="1" applyFont="1" applyFill="1" applyBorder="1" applyAlignment="1" applyProtection="1">
      <alignment horizontal="center" vertical="center" shrinkToFit="1"/>
    </xf>
    <xf numFmtId="49" fontId="13" fillId="2" borderId="15" xfId="0" applyNumberFormat="1" applyFont="1" applyFill="1" applyBorder="1" applyAlignment="1" applyProtection="1">
      <alignment horizontal="right" vertical="center" shrinkToFit="1"/>
    </xf>
    <xf numFmtId="49" fontId="13" fillId="2" borderId="15" xfId="0" applyNumberFormat="1" applyFont="1" applyFill="1" applyBorder="1" applyAlignment="1" applyProtection="1">
      <alignment horizontal="left" vertical="center" shrinkToFit="1"/>
    </xf>
    <xf numFmtId="49" fontId="13" fillId="2" borderId="17" xfId="0" applyNumberFormat="1" applyFont="1" applyFill="1" applyBorder="1" applyAlignment="1" applyProtection="1">
      <alignment horizontal="center" vertical="center" shrinkToFit="1"/>
    </xf>
    <xf numFmtId="49" fontId="13" fillId="2" borderId="7" xfId="0" applyNumberFormat="1" applyFont="1" applyFill="1" applyBorder="1" applyAlignment="1" applyProtection="1">
      <alignment horizontal="center" vertical="center" shrinkToFit="1"/>
    </xf>
    <xf numFmtId="49" fontId="13" fillId="5" borderId="8" xfId="0" applyNumberFormat="1" applyFont="1" applyFill="1" applyBorder="1" applyAlignment="1" applyProtection="1">
      <alignment horizontal="center" vertical="center" shrinkToFit="1"/>
    </xf>
    <xf numFmtId="49" fontId="13" fillId="2" borderId="9" xfId="0" applyNumberFormat="1" applyFont="1" applyFill="1" applyBorder="1" applyAlignment="1" applyProtection="1">
      <alignment horizontal="center" vertical="center" shrinkToFit="1"/>
    </xf>
    <xf numFmtId="49" fontId="13" fillId="2" borderId="17" xfId="0" applyNumberFormat="1" applyFont="1" applyFill="1" applyBorder="1" applyAlignment="1" applyProtection="1">
      <alignment horizontal="right" vertical="center" shrinkToFit="1"/>
    </xf>
    <xf numFmtId="49" fontId="13" fillId="2" borderId="17" xfId="0" applyNumberFormat="1" applyFont="1" applyFill="1" applyBorder="1" applyAlignment="1" applyProtection="1">
      <alignment horizontal="left" vertical="center" shrinkToFit="1"/>
    </xf>
    <xf numFmtId="49" fontId="13" fillId="2" borderId="18" xfId="0" applyNumberFormat="1" applyFont="1" applyFill="1" applyBorder="1" applyAlignment="1" applyProtection="1">
      <alignment horizontal="center" vertical="center" shrinkToFit="1"/>
    </xf>
    <xf numFmtId="49" fontId="13" fillId="2" borderId="19" xfId="0" applyNumberFormat="1" applyFont="1" applyFill="1" applyBorder="1" applyAlignment="1" applyProtection="1">
      <alignment horizontal="center" vertical="center" shrinkToFit="1"/>
    </xf>
    <xf numFmtId="49" fontId="13" fillId="2" borderId="20" xfId="0" applyNumberFormat="1" applyFont="1" applyFill="1" applyBorder="1" applyAlignment="1" applyProtection="1">
      <alignment horizontal="center" vertical="center" shrinkToFit="1"/>
    </xf>
    <xf numFmtId="49" fontId="13" fillId="2" borderId="18" xfId="0" applyNumberFormat="1" applyFont="1" applyFill="1" applyBorder="1" applyAlignment="1" applyProtection="1">
      <alignment horizontal="right" vertical="center" shrinkToFit="1"/>
    </xf>
    <xf numFmtId="49" fontId="13" fillId="2" borderId="18" xfId="0" applyNumberFormat="1" applyFont="1" applyFill="1" applyBorder="1" applyAlignment="1" applyProtection="1">
      <alignment horizontal="left" vertical="center" shrinkToFit="1"/>
    </xf>
    <xf numFmtId="49" fontId="16" fillId="3" borderId="14" xfId="0" applyNumberFormat="1" applyFont="1" applyFill="1" applyBorder="1" applyAlignment="1" applyProtection="1">
      <alignment vertical="center" textRotation="90" shrinkToFit="1"/>
    </xf>
    <xf numFmtId="1" fontId="15" fillId="2" borderId="18" xfId="0" applyNumberFormat="1" applyFont="1" applyFill="1" applyBorder="1" applyAlignment="1" applyProtection="1">
      <alignment horizontal="center" vertical="top" shrinkToFit="1"/>
    </xf>
    <xf numFmtId="0" fontId="19" fillId="0" borderId="0" xfId="0" applyFont="1" applyFill="1" applyAlignment="1" applyProtection="1">
      <alignment horizontal="left" vertical="center" shrinkToFit="1"/>
    </xf>
    <xf numFmtId="49" fontId="20" fillId="0" borderId="0" xfId="0" applyNumberFormat="1" applyFont="1" applyFill="1" applyBorder="1" applyAlignment="1" applyProtection="1">
      <alignment horizontal="left" vertical="center" shrinkToFit="1"/>
    </xf>
    <xf numFmtId="49" fontId="21" fillId="3" borderId="10" xfId="0" applyNumberFormat="1" applyFont="1" applyFill="1" applyBorder="1" applyAlignment="1" applyProtection="1">
      <alignment horizontal="center" vertical="center" shrinkToFit="1"/>
    </xf>
    <xf numFmtId="49" fontId="22" fillId="2" borderId="15" xfId="0" applyNumberFormat="1" applyFont="1" applyFill="1" applyBorder="1" applyAlignment="1" applyProtection="1">
      <alignment horizontal="left" vertical="center" shrinkToFit="1"/>
    </xf>
    <xf numFmtId="49" fontId="22" fillId="2" borderId="17" xfId="0" applyNumberFormat="1" applyFont="1" applyFill="1" applyBorder="1" applyAlignment="1" applyProtection="1">
      <alignment horizontal="left" vertical="center" shrinkToFit="1"/>
    </xf>
    <xf numFmtId="49" fontId="22" fillId="2" borderId="18" xfId="0" applyNumberFormat="1" applyFont="1" applyFill="1" applyBorder="1" applyAlignment="1" applyProtection="1">
      <alignment horizontal="left" vertical="center" shrinkToFit="1"/>
    </xf>
    <xf numFmtId="49" fontId="14" fillId="3" borderId="2" xfId="0" applyNumberFormat="1" applyFont="1" applyFill="1" applyBorder="1" applyAlignment="1" applyProtection="1">
      <alignment horizontal="center" vertical="center" textRotation="90" shrinkToFit="1"/>
    </xf>
    <xf numFmtId="0" fontId="23" fillId="0" borderId="0" xfId="0" applyFont="1" applyFill="1" applyAlignment="1" applyProtection="1">
      <alignment horizontal="right" vertical="center" shrinkToFit="1"/>
    </xf>
    <xf numFmtId="49" fontId="24" fillId="0" borderId="0" xfId="0" applyNumberFormat="1" applyFont="1" applyFill="1" applyBorder="1" applyAlignment="1" applyProtection="1">
      <alignment horizontal="left" vertical="center" indent="1"/>
    </xf>
    <xf numFmtId="0" fontId="23" fillId="0" borderId="0" xfId="0" applyNumberFormat="1" applyFont="1" applyFill="1" applyAlignment="1" applyProtection="1">
      <alignment horizontal="left" vertical="center" shrinkToFit="1"/>
    </xf>
    <xf numFmtId="0" fontId="23" fillId="0" borderId="0" xfId="0" applyFont="1" applyFill="1" applyAlignment="1" applyProtection="1">
      <alignment horizontal="left" vertical="center" shrinkToFit="1"/>
    </xf>
    <xf numFmtId="49" fontId="23" fillId="0" borderId="0" xfId="0" applyNumberFormat="1" applyFont="1" applyFill="1" applyAlignment="1" applyProtection="1">
      <alignment horizontal="center" vertical="center" shrinkToFit="1"/>
    </xf>
    <xf numFmtId="0" fontId="23" fillId="0" borderId="0" xfId="0" applyFont="1" applyFill="1" applyAlignment="1" applyProtection="1">
      <alignment horizontal="center" vertical="center" shrinkToFit="1"/>
    </xf>
    <xf numFmtId="0" fontId="25" fillId="0" borderId="0" xfId="0" applyFont="1" applyFill="1" applyAlignment="1" applyProtection="1">
      <alignment horizontal="left" vertical="center" shrinkToFit="1"/>
    </xf>
    <xf numFmtId="0" fontId="26" fillId="0" borderId="0" xfId="0" applyNumberFormat="1" applyFont="1" applyBorder="1" applyAlignment="1" applyProtection="1">
      <alignment horizontal="center" vertical="center" shrinkToFit="1"/>
    </xf>
    <xf numFmtId="0" fontId="23" fillId="0" borderId="0" xfId="0" applyNumberFormat="1" applyFont="1" applyBorder="1" applyAlignment="1" applyProtection="1">
      <alignment horizontal="center" vertical="center" textRotation="90" shrinkToFit="1"/>
    </xf>
    <xf numFmtId="0" fontId="26" fillId="0" borderId="0" xfId="0" applyNumberFormat="1" applyFont="1" applyBorder="1" applyAlignment="1" applyProtection="1">
      <alignment horizontal="center" vertical="center" textRotation="90" shrinkToFit="1"/>
    </xf>
    <xf numFmtId="0" fontId="3" fillId="5" borderId="6" xfId="0" applyNumberFormat="1" applyFont="1" applyFill="1" applyBorder="1" applyAlignment="1" applyProtection="1">
      <alignment horizontal="center" vertical="center"/>
    </xf>
    <xf numFmtId="0" fontId="3" fillId="5" borderId="1" xfId="0" applyNumberFormat="1" applyFont="1" applyFill="1" applyBorder="1" applyAlignment="1" applyProtection="1">
      <alignment horizontal="center" vertical="center"/>
    </xf>
    <xf numFmtId="0" fontId="3" fillId="5" borderId="2" xfId="0" applyNumberFormat="1" applyFont="1" applyFill="1" applyBorder="1" applyAlignment="1" applyProtection="1">
      <alignment horizontal="center" vertical="center"/>
    </xf>
    <xf numFmtId="0" fontId="3" fillId="5" borderId="16" xfId="0" applyNumberFormat="1" applyFont="1" applyFill="1" applyBorder="1" applyAlignment="1" applyProtection="1">
      <alignment horizontal="center" vertical="center"/>
    </xf>
    <xf numFmtId="0" fontId="3" fillId="5" borderId="14" xfId="0" applyNumberFormat="1" applyFont="1" applyFill="1" applyBorder="1" applyAlignment="1" applyProtection="1">
      <alignment horizontal="center" vertical="center"/>
    </xf>
    <xf numFmtId="0" fontId="3" fillId="5" borderId="22" xfId="0" applyNumberFormat="1" applyFont="1" applyFill="1" applyBorder="1" applyAlignment="1" applyProtection="1">
      <alignment horizontal="center" vertical="center"/>
    </xf>
    <xf numFmtId="49" fontId="0" fillId="0" borderId="0" xfId="0" applyNumberFormat="1"/>
    <xf numFmtId="49" fontId="27" fillId="6" borderId="23" xfId="0" applyNumberFormat="1" applyFont="1" applyFill="1" applyBorder="1" applyAlignment="1" applyProtection="1">
      <alignment horizontal="center" vertical="center" shrinkToFit="1"/>
    </xf>
    <xf numFmtId="49" fontId="27" fillId="6" borderId="24" xfId="0" applyNumberFormat="1" applyFont="1" applyFill="1" applyBorder="1" applyAlignment="1" applyProtection="1">
      <alignment horizontal="center" vertical="center" shrinkToFit="1"/>
    </xf>
    <xf numFmtId="49" fontId="27" fillId="6" borderId="24" xfId="0" applyNumberFormat="1" applyFont="1" applyFill="1" applyBorder="1" applyAlignment="1" applyProtection="1">
      <alignment vertical="center" shrinkToFit="1"/>
    </xf>
    <xf numFmtId="49" fontId="27" fillId="6" borderId="7" xfId="0" applyNumberFormat="1" applyFont="1" applyFill="1" applyBorder="1" applyAlignment="1" applyProtection="1">
      <alignment horizontal="center" vertical="center" shrinkToFit="1"/>
    </xf>
    <xf numFmtId="49" fontId="27" fillId="6" borderId="8" xfId="0" applyNumberFormat="1" applyFont="1" applyFill="1" applyBorder="1" applyAlignment="1" applyProtection="1">
      <alignment horizontal="center" vertical="center" shrinkToFit="1"/>
    </xf>
    <xf numFmtId="49" fontId="27" fillId="6" borderId="8" xfId="0" applyNumberFormat="1" applyFont="1" applyFill="1" applyBorder="1" applyAlignment="1" applyProtection="1">
      <alignment vertical="center" shrinkToFit="1"/>
    </xf>
    <xf numFmtId="49" fontId="27" fillId="6" borderId="19" xfId="0" applyNumberFormat="1" applyFont="1" applyFill="1" applyBorder="1" applyAlignment="1" applyProtection="1">
      <alignment horizontal="center" vertical="center" shrinkToFit="1"/>
    </xf>
    <xf numFmtId="49" fontId="27" fillId="6" borderId="20" xfId="0" applyNumberFormat="1" applyFont="1" applyFill="1" applyBorder="1" applyAlignment="1" applyProtection="1">
      <alignment horizontal="center" vertical="center" shrinkToFit="1"/>
    </xf>
    <xf numFmtId="49" fontId="27" fillId="6" borderId="20" xfId="0" applyNumberFormat="1" applyFont="1" applyFill="1" applyBorder="1" applyAlignment="1" applyProtection="1">
      <alignment vertical="center" shrinkToFit="1"/>
    </xf>
    <xf numFmtId="49" fontId="17" fillId="4" borderId="25" xfId="0" applyNumberFormat="1" applyFont="1" applyFill="1" applyBorder="1" applyAlignment="1" applyProtection="1">
      <alignment horizontal="left" vertical="center" shrinkToFit="1"/>
    </xf>
    <xf numFmtId="49" fontId="17" fillId="4" borderId="26" xfId="0" applyNumberFormat="1" applyFont="1" applyFill="1" applyBorder="1" applyAlignment="1" applyProtection="1">
      <alignment horizontal="left" vertical="center" shrinkToFit="1"/>
    </xf>
    <xf numFmtId="0" fontId="14" fillId="3" borderId="2" xfId="0" applyNumberFormat="1" applyFont="1" applyFill="1" applyBorder="1" applyAlignment="1" applyProtection="1">
      <alignment horizontal="center" vertical="center" textRotation="90" shrinkToFit="1"/>
    </xf>
    <xf numFmtId="0" fontId="14" fillId="3" borderId="14" xfId="0" applyNumberFormat="1" applyFont="1" applyFill="1" applyBorder="1" applyAlignment="1" applyProtection="1">
      <alignment horizontal="center" vertical="center" textRotation="90" shrinkToFit="1"/>
    </xf>
    <xf numFmtId="49" fontId="12" fillId="3" borderId="25" xfId="0" applyNumberFormat="1" applyFont="1" applyFill="1" applyBorder="1" applyAlignment="1" applyProtection="1">
      <alignment horizontal="center" vertical="center" shrinkToFit="1"/>
    </xf>
    <xf numFmtId="49" fontId="12" fillId="3" borderId="26" xfId="0" applyNumberFormat="1" applyFont="1" applyFill="1" applyBorder="1" applyAlignment="1" applyProtection="1">
      <alignment horizontal="center" vertical="center" shrinkToFit="1"/>
    </xf>
    <xf numFmtId="49" fontId="12" fillId="3" borderId="27" xfId="0" applyNumberFormat="1" applyFont="1" applyFill="1" applyBorder="1" applyAlignment="1" applyProtection="1">
      <alignment horizontal="center" vertical="center" shrinkToFit="1"/>
    </xf>
    <xf numFmtId="0" fontId="1" fillId="2" borderId="2" xfId="0" applyNumberFormat="1" applyFont="1" applyFill="1" applyBorder="1" applyAlignment="1" applyProtection="1">
      <alignment horizontal="center" vertical="center" textRotation="90" shrinkToFit="1"/>
    </xf>
    <xf numFmtId="0" fontId="1" fillId="2" borderId="6" xfId="0" applyNumberFormat="1" applyFont="1" applyFill="1" applyBorder="1" applyAlignment="1" applyProtection="1">
      <alignment horizontal="center" vertical="center" textRotation="90" shrinkToFit="1"/>
    </xf>
    <xf numFmtId="0" fontId="1" fillId="2" borderId="14" xfId="0" applyNumberFormat="1" applyFont="1" applyFill="1" applyBorder="1" applyAlignment="1" applyProtection="1">
      <alignment horizontal="center" vertical="center" textRotation="90" shrinkToFit="1"/>
    </xf>
    <xf numFmtId="0" fontId="4" fillId="2" borderId="25" xfId="0" applyNumberFormat="1" applyFont="1" applyFill="1" applyBorder="1" applyAlignment="1" applyProtection="1">
      <alignment horizontal="center" vertical="center" shrinkToFit="1"/>
    </xf>
    <xf numFmtId="0" fontId="4" fillId="2" borderId="26" xfId="0" applyNumberFormat="1" applyFont="1" applyFill="1" applyBorder="1" applyAlignment="1" applyProtection="1">
      <alignment horizontal="center" vertical="center" shrinkToFit="1"/>
    </xf>
    <xf numFmtId="0" fontId="4" fillId="2" borderId="27" xfId="0" applyNumberFormat="1" applyFont="1" applyFill="1" applyBorder="1" applyAlignment="1" applyProtection="1">
      <alignment horizontal="center" vertical="center" shrinkToFit="1"/>
    </xf>
    <xf numFmtId="0" fontId="18" fillId="0" borderId="28" xfId="0" applyNumberFormat="1" applyFont="1" applyFill="1" applyBorder="1" applyAlignment="1" applyProtection="1">
      <alignment horizontal="center" vertical="center" shrinkToFit="1"/>
    </xf>
    <xf numFmtId="0" fontId="8" fillId="2" borderId="30" xfId="0" applyNumberFormat="1" applyFont="1" applyFill="1" applyBorder="1" applyAlignment="1" applyProtection="1">
      <alignment horizontal="center" vertical="center" shrinkToFit="1"/>
    </xf>
    <xf numFmtId="0" fontId="8" fillId="2" borderId="31" xfId="0" applyNumberFormat="1" applyFont="1" applyFill="1" applyBorder="1" applyAlignment="1" applyProtection="1">
      <alignment horizontal="center" vertical="center" shrinkToFit="1"/>
    </xf>
    <xf numFmtId="0" fontId="8" fillId="2" borderId="16" xfId="0" applyNumberFormat="1" applyFont="1" applyFill="1" applyBorder="1" applyAlignment="1" applyProtection="1">
      <alignment horizontal="center" vertical="center" shrinkToFit="1"/>
    </xf>
    <xf numFmtId="0" fontId="8" fillId="2" borderId="32" xfId="0" applyNumberFormat="1" applyFont="1" applyFill="1" applyBorder="1" applyAlignment="1" applyProtection="1">
      <alignment horizontal="center" vertical="center" shrinkToFit="1"/>
    </xf>
    <xf numFmtId="0" fontId="8" fillId="2" borderId="28" xfId="0" applyNumberFormat="1" applyFont="1" applyFill="1" applyBorder="1" applyAlignment="1" applyProtection="1">
      <alignment horizontal="center" vertical="center" shrinkToFit="1"/>
    </xf>
    <xf numFmtId="0" fontId="8" fillId="2" borderId="22" xfId="0" applyNumberFormat="1" applyFont="1" applyFill="1" applyBorder="1" applyAlignment="1" applyProtection="1">
      <alignment horizontal="center" vertical="center" shrinkToFit="1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nager">
    <outlinePr summaryBelow="0"/>
    <pageSetUpPr autoPageBreaks="0"/>
  </sheetPr>
  <dimension ref="A1:V12"/>
  <sheetViews>
    <sheetView showGridLines="0" tabSelected="1" topLeftCell="G3" workbookViewId="0">
      <pane xSplit="14" ySplit="6" topLeftCell="U9" activePane="bottomRight" state="frozen"/>
      <selection activeCell="G3" sqref="G3"/>
      <selection pane="topRight" activeCell="AA3" sqref="AA3"/>
      <selection pane="bottomLeft" activeCell="G9" sqref="G9"/>
      <selection pane="bottomRight"/>
    </sheetView>
  </sheetViews>
  <sheetFormatPr baseColWidth="10" defaultColWidth="10.28515625" defaultRowHeight="18.75" x14ac:dyDescent="0.25"/>
  <cols>
    <col min="1" max="1" width="51" style="13" hidden="1" customWidth="1"/>
    <col min="2" max="2" width="5" style="1" hidden="1" customWidth="1"/>
    <col min="3" max="3" width="43.5703125" style="23" hidden="1" customWidth="1"/>
    <col min="4" max="4" width="1.7109375" style="23" hidden="1" customWidth="1"/>
    <col min="5" max="5" width="3.140625" style="23" hidden="1" customWidth="1"/>
    <col min="6" max="6" width="4.7109375" style="23" hidden="1" customWidth="1"/>
    <col min="7" max="7" width="1.42578125" style="1" customWidth="1"/>
    <col min="8" max="8" width="7.28515625" style="12" bestFit="1" customWidth="1"/>
    <col min="9" max="9" width="2.85546875" style="18" hidden="1" customWidth="1"/>
    <col min="10" max="10" width="4.140625" style="18" bestFit="1" customWidth="1"/>
    <col min="11" max="11" width="2.85546875" style="18" hidden="1" customWidth="1"/>
    <col min="12" max="12" width="2.85546875" style="19" hidden="1" customWidth="1"/>
    <col min="13" max="13" width="4.42578125" style="62" bestFit="1" customWidth="1"/>
    <col min="14" max="14" width="1.28515625" style="20" hidden="1" customWidth="1"/>
    <col min="15" max="15" width="4.7109375" style="18" bestFit="1" customWidth="1"/>
    <col min="16" max="16" width="19.28515625" style="18" hidden="1" customWidth="1"/>
    <col min="17" max="17" width="3.42578125" style="18" bestFit="1" customWidth="1"/>
    <col min="18" max="18" width="19.28515625" style="20" hidden="1" customWidth="1"/>
    <col min="19" max="19" width="3.85546875" style="21" bestFit="1" customWidth="1"/>
    <col min="20" max="20" width="8.42578125" style="27" hidden="1" customWidth="1"/>
    <col min="21" max="21" width="8.42578125" style="2" hidden="1" customWidth="1"/>
    <col min="22" max="22" width="10.28515625" style="1" customWidth="1"/>
    <col min="23" max="16384" width="10.28515625" style="1"/>
  </cols>
  <sheetData>
    <row r="1" spans="1:22" hidden="1" x14ac:dyDescent="0.25"/>
    <row r="2" spans="1:22" hidden="1" x14ac:dyDescent="0.25"/>
    <row r="3" spans="1:22" s="72" customFormat="1" ht="9" customHeight="1" thickBot="1" x14ac:dyDescent="0.3">
      <c r="A3" s="69"/>
      <c r="B3" s="70"/>
      <c r="C3" s="71"/>
      <c r="D3" s="71"/>
      <c r="E3" s="71"/>
      <c r="F3" s="71"/>
      <c r="H3" s="73"/>
      <c r="I3" s="74"/>
      <c r="J3" s="74"/>
      <c r="K3" s="74"/>
      <c r="L3" s="69"/>
      <c r="M3" s="75"/>
      <c r="O3" s="74"/>
      <c r="P3" s="74"/>
      <c r="Q3" s="74"/>
      <c r="S3" s="77"/>
      <c r="T3" s="78" t="str">
        <f>GetStrCRC(T8:T10)</f>
        <v/>
      </c>
      <c r="U3" s="76" t="str">
        <f>GetStrCRC(U8:U10)</f>
        <v/>
      </c>
    </row>
    <row r="4" spans="1:22" s="8" customFormat="1" ht="24.75" collapsed="1" thickBot="1" x14ac:dyDescent="0.3">
      <c r="A4" s="15"/>
      <c r="B4" s="6"/>
      <c r="C4" s="24"/>
      <c r="D4" s="24"/>
      <c r="E4" s="24"/>
      <c r="F4" s="24"/>
      <c r="G4" s="6"/>
      <c r="H4" s="28" t="s">
        <v>6</v>
      </c>
      <c r="I4" s="28"/>
      <c r="J4" s="28"/>
      <c r="K4" s="28"/>
      <c r="L4" s="28"/>
      <c r="M4" s="63"/>
      <c r="N4" s="29"/>
      <c r="O4" s="102" t="s">
        <v>10</v>
      </c>
      <c r="P4" s="105" t="str">
        <f>Par("PTK_ID")</f>
        <v>---</v>
      </c>
      <c r="Q4" s="106"/>
      <c r="R4" s="107"/>
      <c r="S4" s="97" t="str">
        <f>"VI ( "&amp;ROUND(SUMPRODUCT((T3:U3&lt;&gt;"")/COUNTIF(T3:U3,T3:U3&amp;"")),0)&amp;" )"</f>
        <v>VI ( 0 )</v>
      </c>
      <c r="T4" s="30" t="str">
        <f>GetVIStatus(T5)</f>
        <v/>
      </c>
      <c r="U4" s="30" t="str">
        <f t="shared" ref="U4" si="0">GetVIStatus(U5)</f>
        <v/>
      </c>
    </row>
    <row r="5" spans="1:22" s="8" customFormat="1" ht="24.75" thickBot="1" x14ac:dyDescent="0.3">
      <c r="A5" s="15"/>
      <c r="C5" s="24"/>
      <c r="D5" s="24"/>
      <c r="E5" s="24"/>
      <c r="F5" s="24"/>
      <c r="G5" s="6"/>
      <c r="H5" s="28"/>
      <c r="I5" s="28"/>
      <c r="J5" s="28"/>
      <c r="K5" s="28"/>
      <c r="L5" s="28"/>
      <c r="M5" s="63"/>
      <c r="N5" s="29"/>
      <c r="O5" s="103"/>
      <c r="P5" s="109" t="str">
        <f>Par("PTK_ALIAS")</f>
        <v>---</v>
      </c>
      <c r="Q5" s="110"/>
      <c r="R5" s="111"/>
      <c r="S5" s="98"/>
      <c r="T5" s="31"/>
      <c r="U5" s="31"/>
    </row>
    <row r="6" spans="1:22" s="8" customFormat="1" ht="27.75" thickBot="1" x14ac:dyDescent="0.3">
      <c r="A6" s="15"/>
      <c r="B6" s="6"/>
      <c r="C6" s="24"/>
      <c r="D6" s="24"/>
      <c r="E6" s="24"/>
      <c r="F6" s="24"/>
      <c r="G6" s="6"/>
      <c r="H6" s="108" t="str">
        <f>Par("TopName")</f>
        <v>---</v>
      </c>
      <c r="I6" s="108"/>
      <c r="J6" s="108"/>
      <c r="K6" s="108"/>
      <c r="L6" s="108"/>
      <c r="M6" s="108"/>
      <c r="N6" s="32"/>
      <c r="O6" s="103"/>
      <c r="P6" s="112"/>
      <c r="Q6" s="113"/>
      <c r="R6" s="114"/>
      <c r="S6" s="68" t="s">
        <v>11</v>
      </c>
      <c r="T6" s="33"/>
      <c r="U6" s="34"/>
    </row>
    <row r="7" spans="1:22" s="12" customFormat="1" ht="20.25" collapsed="1" thickBot="1" x14ac:dyDescent="0.3">
      <c r="A7" s="16" t="s">
        <v>3</v>
      </c>
      <c r="B7" s="10"/>
      <c r="C7" s="25" t="s">
        <v>5</v>
      </c>
      <c r="D7" s="25" t="s">
        <v>4</v>
      </c>
      <c r="E7" s="25"/>
      <c r="F7" s="25"/>
      <c r="G7" s="11"/>
      <c r="H7" s="42" t="s">
        <v>0</v>
      </c>
      <c r="I7" s="99" t="s">
        <v>2</v>
      </c>
      <c r="J7" s="100"/>
      <c r="K7" s="101"/>
      <c r="L7" s="42"/>
      <c r="M7" s="64" t="s">
        <v>1</v>
      </c>
      <c r="N7" s="42"/>
      <c r="O7" s="104"/>
      <c r="P7" s="35"/>
      <c r="Q7" s="36" t="s">
        <v>12</v>
      </c>
      <c r="R7" s="37"/>
      <c r="S7" s="60" t="s">
        <v>7</v>
      </c>
      <c r="T7" s="61" t="e">
        <f t="shared" ref="T7" si="1">GetVIPosNo(T7)</f>
        <v>#VALUE!</v>
      </c>
      <c r="U7" s="61" t="e">
        <f t="shared" ref="U7" si="2">GetVIPosNo(U7)</f>
        <v>#VALUE!</v>
      </c>
    </row>
    <row r="8" spans="1:22" s="8" customFormat="1" hidden="1" x14ac:dyDescent="0.25">
      <c r="A8" s="15"/>
      <c r="B8" s="6"/>
      <c r="C8" s="26" t="str">
        <f>UnPrecise($A8)</f>
        <v/>
      </c>
      <c r="D8" s="26" t="str">
        <f>GetInstance($C8)</f>
        <v/>
      </c>
      <c r="E8" s="26"/>
      <c r="F8" s="26"/>
      <c r="G8" s="7"/>
      <c r="H8" s="43"/>
      <c r="I8" s="44"/>
      <c r="J8" s="45"/>
      <c r="K8" s="46"/>
      <c r="L8" s="47"/>
      <c r="M8" s="65"/>
      <c r="N8" s="48"/>
      <c r="O8" s="38"/>
      <c r="P8" s="86"/>
      <c r="Q8" s="87"/>
      <c r="R8" s="88"/>
      <c r="S8" s="5"/>
      <c r="T8" s="81" t="str">
        <f>GetShowComponent(T$6,$P8:$R8)</f>
        <v/>
      </c>
      <c r="U8" s="82" t="str">
        <f>GetShowComponent(U$6,$P8:$R8)</f>
        <v/>
      </c>
    </row>
    <row r="9" spans="1:22" s="8" customFormat="1" ht="19.5" thickBot="1" x14ac:dyDescent="0.3">
      <c r="A9" s="15"/>
      <c r="B9" s="6"/>
      <c r="C9" s="26"/>
      <c r="D9" s="26"/>
      <c r="E9" s="26"/>
      <c r="F9" s="26"/>
      <c r="G9" s="7"/>
      <c r="H9" s="49"/>
      <c r="I9" s="50"/>
      <c r="J9" s="51"/>
      <c r="K9" s="52"/>
      <c r="L9" s="53"/>
      <c r="M9" s="66"/>
      <c r="N9" s="54"/>
      <c r="O9" s="39"/>
      <c r="P9" s="89"/>
      <c r="Q9" s="90"/>
      <c r="R9" s="91"/>
      <c r="S9" s="5"/>
      <c r="T9" s="79"/>
      <c r="U9" s="80"/>
    </row>
    <row r="10" spans="1:22" s="8" customFormat="1" ht="19.5" hidden="1" thickBot="1" x14ac:dyDescent="0.3">
      <c r="A10" s="15"/>
      <c r="B10" s="6"/>
      <c r="C10" s="26" t="str">
        <f t="shared" ref="C10" si="3">UnPrecise($A10)</f>
        <v/>
      </c>
      <c r="D10" s="26" t="str">
        <f t="shared" ref="D10" si="4">GetInstance($C10)</f>
        <v/>
      </c>
      <c r="E10" s="26"/>
      <c r="F10" s="26"/>
      <c r="G10" s="7"/>
      <c r="H10" s="55"/>
      <c r="I10" s="56"/>
      <c r="J10" s="57"/>
      <c r="K10" s="22"/>
      <c r="L10" s="58"/>
      <c r="M10" s="67"/>
      <c r="N10" s="59"/>
      <c r="O10" s="55"/>
      <c r="P10" s="92"/>
      <c r="Q10" s="93"/>
      <c r="R10" s="94"/>
      <c r="S10" s="9"/>
      <c r="T10" s="83"/>
      <c r="U10" s="84" t="str">
        <f>GetShowComponent(U$4,$P10:$R10)</f>
        <v/>
      </c>
    </row>
    <row r="11" spans="1:22" ht="19.5" thickBot="1" x14ac:dyDescent="0.3">
      <c r="A11" s="14"/>
      <c r="B11" s="3"/>
      <c r="C11" s="26"/>
      <c r="D11" s="26"/>
      <c r="E11" s="26"/>
      <c r="F11" s="26"/>
      <c r="G11" s="4"/>
      <c r="H11" s="95" t="s">
        <v>6</v>
      </c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40"/>
      <c r="U11" s="41"/>
      <c r="V11" s="17"/>
    </row>
    <row r="12" spans="1:22" x14ac:dyDescent="0.25">
      <c r="U12" s="27"/>
    </row>
  </sheetData>
  <sheetProtection sheet="1" objects="1" scenarios="1" formatCells="0" formatColumns="0"/>
  <scenarios current="0">
    <scenario name="rman" locked="1" count="1" user="manzhura" comment="Created by manzhura on 29.06.2015">
      <inputCells r="A1" val=""/>
    </scenario>
  </scenarios>
  <dataConsolidate/>
  <mergeCells count="7">
    <mergeCell ref="H11:S11"/>
    <mergeCell ref="S4:S5"/>
    <mergeCell ref="I7:K7"/>
    <mergeCell ref="O4:O7"/>
    <mergeCell ref="P4:R4"/>
    <mergeCell ref="H6:M6"/>
    <mergeCell ref="P5:R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g"/>
  <dimension ref="A1:B2"/>
  <sheetViews>
    <sheetView workbookViewId="0"/>
  </sheetViews>
  <sheetFormatPr baseColWidth="10" defaultColWidth="11.42578125" defaultRowHeight="15" x14ac:dyDescent="0.25"/>
  <cols>
    <col min="1" max="1" width="40.85546875" style="85" customWidth="1"/>
  </cols>
  <sheetData>
    <row r="1" spans="1:2" x14ac:dyDescent="0.25">
      <c r="A1" s="85" t="s">
        <v>8</v>
      </c>
      <c r="B1" t="s">
        <v>9</v>
      </c>
    </row>
    <row r="2" spans="1:2" x14ac:dyDescent="0.25">
      <c r="A2" s="85" t="s">
        <v>13</v>
      </c>
    </row>
  </sheetData>
  <pageMargins left="0.7" right="0.7" top="0.78740157499999996" bottom="0.78740157499999996" header="0.3" footer="0.3"/>
  <pageSetup paperSize="9" orientation="portrait" verticalDpi="599" r:id="rId1"/>
</worksheet>
</file>

<file path=customUI/_rels/customUI.xml.rels><?xml version="1.0" encoding="UTF-8" standalone="yes"?>
<Relationships xmlns="http://schemas.openxmlformats.org/package/2006/relationships"><Relationship Id="asn" Type="http://schemas.openxmlformats.org/officeDocument/2006/relationships/image" Target="images/asn1.bmp"/><Relationship Id="vi" Type="http://schemas.openxmlformats.org/officeDocument/2006/relationships/image" Target="images/vi1.bmp"/></Relationships>
</file>

<file path=customUI/_rels/customUI14.xml.rels><?xml version="1.0" encoding="UTF-8" standalone="yes"?>
<Relationships xmlns="http://schemas.openxmlformats.org/package/2006/relationships"><Relationship Id="asn" Type="http://schemas.openxmlformats.org/officeDocument/2006/relationships/image" Target="images/asn.bmp"/><Relationship Id="vi" Type="http://schemas.openxmlformats.org/officeDocument/2006/relationships/image" Target="images/vi.bmp"/></Relationships>
</file>

<file path=customUI/customUI.xml><?xml version="1.0" encoding="utf-8"?>
<customUI xmlns="http://schemas.microsoft.com/office/2006/01/customui">
  <!-- **************************************************************************-->
  <!-- ****Disable 'Exit Excel' and 'Excel Options' on the Office Button menu****-->
  <!-- **************************************************************************-->
  <commands>
    <command idMso="ApplicationOptionsDialog" enabled="false"/>
    <command idMso="FileExit" enabled="false"/>
  </commands>
  <!-- *******************************************************************-->
  <!-- *****Set startFromScratch to true to hide the Ribbon and QAT*******-->
  <!-- ********Hide New, Open and Save on the Office Button menu**********-->
  <!-- **************Hide Contextual tabs on the Ribbon*******************-->
  <!-- *******************************************************************-->
  <!-- Set startFromScratch to true to hide the Ribbon and QAT-->
  <ribbon startFromScratch="true">
    <!-- startFromScratch="true" hides all of the Ribbon tabs and it hide the QAT.   -->
    <!-- It also hides most of the commands on the Office Button menu, but for       -->
    <!-- some reason, it does not hide the 'New', 'Open' and 'Save' commands.        -->
    <!-- Also it not hides the Contextual tabs on the ribbon, for example the        -->
    <!-- Format tab that you see when you select a picture on your worksheet.        -->
    <!-- So if you want to hide them you must use the RibbonX below:                 -->
    <officeMenu>
      <button idMso="FileNew" visible="false"/>
      <button idMso="FileOpen" visible="true"/>
      <button idMso="FileSave" visible="false"/>
      <button idMso="ApplicationOptionsDialog" visible="false"/>
      <button idMso="FileExit" visible="false"/>
    </officeMenu>
    <contextualTabs>
      <tabSet idMso="TabSetSmartArtTools" visible="false"/>
      <tabSet idMso="TabSetChartTools" visible="false"/>
      <tabSet idMso="TabSetDrawingTools" visible="false"/>
      <tabSet idMso="TabSetPictureTools" visible="false"/>
      <tabSet idMso="TabSetPivotTableTools" visible="false"/>
      <tabSet idMso="TabSetHeaderAndFooterTools" visible="false"/>
      <tabSet idMso="TabSetTableToolsExcel" visible="false"/>
      <tabSet idMso="TabSetPivotChartTools" visible="false"/>
      <tabSet idMso="TabSetInkTools" visible="false"/>
    </contextualTabs>
    <tabs>
      <tab id="t1" label="Variant Management" insertBeforeQ="TabHome">
        <group id="g1" label="Data">
          <!--button id="TCLogin" label="Teamcenter Login Data" imageMso="AdpPrimaryKey" onAction="VM_DoMtd" getVisible="GetVisible"/-->
          <button id="TCImport" label="Import From Teamcenter" imageMso="SourceControlCheckOut" onAction="VM_DoMtd" getVisible="GetVisible"/>
          <button id="TCExport" label="Export To Teamcenter" imageMso="SourceControlCheckIn" onAction="VM_DoMtd" getVisible="GetVisible"/>
          <button id="TCExportExit" label="Export To Teamcenter + Exit" imageMso="SourceControlCheckIn" onAction="VM_DoMtd" getVisible="GetVisible"/>
          <button id="Clear" label="Clear Local Data" imageMso="InkEraseMode" onAction="VM_DoMtd" getVisible="GetVisible"/>
        </group>
        <group id="g2" label="Configuration">
          <button id="Chg_Product" label="Change Product" imageMso="AppointmentColorDialog" onAction="VM_DoMtd" visible="false"/>
          <button id="VI_Manager" label="ASN Manager" image="asn" onAction="VM_DoMtd" getVisible="GetVisible"/>
          <button id="Clone_Manager" label="VI Clone Manager" image="vi" onAction="VM_DoMtd" getVisible="GetVisible"/>
          <button id="ChkMTX" label="Check MTX" imageMso="Spelling" onAction="VM_DoMtd" getVisible="GetVisible"/>
        </group>
        <group id="g3" label="View">
          <button id="ToggleFields" label="Show/Hide Additional Fields" imageMso="AccessListCustom" onAction="VM_DoMtd" getVisible="GetVisible"/>
          <button id="ToggleMtx" label="Show/Hide TK Matrix" imageMso="GridSettings" onAction="VM_DoMtd" getVisible="GetVisible"/>
          <button id="TogglePanes" label="Freeze/Unfreeze Panes" imageMso="FreezePanes" onAction="VM_DoMtd" getVisible="GetVisible"/>
          <button id="PSTreeView" label="Switch Tree View" imageMso="OrganizationChartLayoutRightHanging" onAction="VM_DoMtd" getVisible="GetVisible"/>
        </group>
      </tab>
    </tabs>
  </ribbon>
</customUI>
</file>

<file path=customUI/customUI14.xml><?xml version="1.0" encoding="utf-8"?>
<customUI xmlns="http://schemas.microsoft.com/office/2009/07/customui" onLoad="RibbonOnLoad">
  <!-- **************************************************************************-->
  <!-- ****Disable 'Exit Excel' and 'Excel Options' on the Office Button menu****-->
  <!-- **************************************************************************-->
  <!-- *******************************************************************-->
  <!-- *****Set startFromScratch to true to hide the Ribbon and QAT*******-->
  <!-- ********Hide New, Open and Save on the Office Button menu**********-->
  <!-- **************Hide Contextual tabs on the Ribbon*******************-->
  <!-- *******************************************************************-->
  <!-- Set startFromScratch to true to hide the Ribbon and QAT-->
  <ribbon startFromScratch="false">
    <!-- startFromScratch="true" hides all of the Ribbon tabs and it hide the QAT.   -->
    <!-- It also hides most of the commands on the Office Button menu, but for       -->
    <!-- some reason, it does not hide the 'New', 'Open' and 'Save' commands.        -->
    <!-- Also it not hides the Contextual tabs on the ribbon, for example the        -->
    <!-- Format tab that you see when you select a picture on your worksheet.        -->
    <!-- So if you want to hide them you must use the RibbonX below:                 -->
    <contextualTabs>
      <tabSet idMso="TabSetSmartArtTools" visible="false"/>
      <tabSet idMso="TabSetChartTools" visible="false"/>
      <tabSet idMso="TabSetDrawingTools" visible="false"/>
      <tabSet idMso="TabSetPictureTools" visible="false"/>
      <tabSet idMso="TabSetPivotTableTools" visible="false"/>
      <tabSet idMso="TabSetHeaderAndFooterTools" visible="false"/>
      <tabSet idMso="TabSetTableToolsExcel" visible="false"/>
      <tabSet idMso="TabSetPivotChartTools" visible="false"/>
      <tabSet idMso="TabSetInkTools" visible="false"/>
    </contextualTabs>
    <tabs>
      <tab id="t1" label="Variant Management" insertBeforeQ="TabHome">
        <group id="g1" label="Data">
          <!--button id="TCLogin" label="Teamcenter Login Data" imageMso="AdpPrimaryKey" onAction="VM_DoMtd" getVisible="GetVisible"/-->
          <button id="TCImport" label="Import From Teamcenter" imageMso="SourceControlCheckOut" onAction="VM_DoMtd" getVisible="GetVisible"/>
          <button id="TCExport" label="Export To Teamcenter" imageMso="SourceControlCheckIn" onAction="VM_DoMtd" getVisible="GetVisible"/>
          <button id="TCExportExit" label="Export To Teamcenter + Exit" imageMso="SourceControlCheckIn" onAction="VM_DoMtd" getVisible="GetVisible"/>
          <button id="Clear" label="Clear Local Data" imageMso="InkEraseMode" onAction="VM_DoMtd" getVisible="GetVisible"/>
        </group>
        <group id="g2" label="Configuration">
          <button id="Chg_Product" label="Change Product" imageMso="AppointmentColorDialog" onAction="VM_DoMtd" visible="false"/>
          <!--button id="VI_Manager" label="VI Manager" imageMso="Chart3DColumnChart" onAction="VM_DoMtd" getVisible="GetVisible"/-->
          <button id="VI_Manager" label="ANS Manager" image="asn" onAction="VM_DoMtd" getVisible="GetVisible"/>
          <button id="Clone_Manager" label="VI Clone Manager" image="vi" onAction="VM_DoMtd" getVisible="GetVisible"/>
          <button id="ChkMTX" label="Check MTX" imageMso="Spelling" onAction="VM_DoMtd" getVisible="GetVisible"/>
        </group>
        <group id="g3" label="View">
          <button id="ToggleFields" label="Show/Hide Additional Fields" imageMso="AccessListCustom" onAction="VM_DoMtd" getVisible="GetVisible"/>
          <button id="ToggleMtx" label="Show/Hide TK Matrix" imageMso="GridSettings" onAction="VM_DoMtd" getVisible="GetVisible"/>
          <button id="TogglePanes" label="Freeze/Unfreeze Panes" imageMso="FreezePanes" onAction="VM_DoMtd" getVisible="GetVisible"/>
          <button id="PSTreeView" label="Switch Tree View" imageMso="OrganizationChartLayoutRightHanging" onAction="VM_DoMtd" getVisible="GetVisible"/>
        </group>
      </tab>
    </tabs>
  </ribbon>
  <!--
    <backstage>
        <button idMso="FileSave" visible="true"/>
        <button idMso="FileSaveAs" visible="true"/>
        <button idMso="FileOpen" visible="false"/>
        <button idMso="FileClose" visible="false"/>
        <button idMso="ApplicationOptionsDialog" visible="false"/>
        <button idMso="FileExit" visible="false"/>
        <tab idMso="TabInfo" visible="false"/>
        <tab idMso="TabRecent" visible="false"/>
        <tab idMso="TabNew" visible="false"/>
        <tab idMso="TabPrint" visible="false"/>
        <tab idMso="TabShare" visible="false"/>
        <tab idMso="TabHelp" visible="false"/>
    </backstage>
-->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15</vt:i4>
      </vt:variant>
    </vt:vector>
  </HeadingPairs>
  <TitlesOfParts>
    <vt:vector size="17" baseType="lpstr">
      <vt:lpstr>Manager</vt:lpstr>
      <vt:lpstr>Reg</vt:lpstr>
      <vt:lpstr>Manager!ASN_Title</vt:lpstr>
      <vt:lpstr>Manager!BOML</vt:lpstr>
      <vt:lpstr>Manager!IDX</vt:lpstr>
      <vt:lpstr>Manager!LVL</vt:lpstr>
      <vt:lpstr>Manager!MTX</vt:lpstr>
      <vt:lpstr>Manager!POS</vt:lpstr>
      <vt:lpstr>Manager!Property</vt:lpstr>
      <vt:lpstr>Manager!PS</vt:lpstr>
      <vt:lpstr>Manager!STATUS_LINE</vt:lpstr>
      <vt:lpstr>Manager!Top_ID</vt:lpstr>
      <vt:lpstr>Manager!VI_Data</vt:lpstr>
      <vt:lpstr>Manager!VI_Head</vt:lpstr>
      <vt:lpstr>Manager!VI_LIST</vt:lpstr>
      <vt:lpstr>Manager!VI_Ref</vt:lpstr>
      <vt:lpstr>Manager!VI_Title</vt:lpstr>
    </vt:vector>
  </TitlesOfParts>
  <Company>Free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Virtual PC</dc:creator>
  <cp:lastModifiedBy>manzhura</cp:lastModifiedBy>
  <cp:lastPrinted>2011-04-12T11:38:37Z</cp:lastPrinted>
  <dcterms:created xsi:type="dcterms:W3CDTF">2010-07-16T14:56:07Z</dcterms:created>
  <dcterms:modified xsi:type="dcterms:W3CDTF">2017-04-27T08:42:58Z</dcterms:modified>
</cp:coreProperties>
</file>